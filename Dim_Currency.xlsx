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cy Convers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<sst xmlns="http://schemas.openxmlformats.org/spreadsheetml/2006/main" count="105" uniqueCount="79">
  <si>
    <t xml:space="preserve">Country Code</t>
  </si>
  <si>
    <t xml:space="preserve">Country</t>
  </si>
  <si>
    <t xml:space="preserve">Currency Label In Source Data</t>
  </si>
  <si>
    <t xml:space="preserve">ISO Code</t>
  </si>
  <si>
    <t xml:space="preserve">Rate As Published (2019 avg)</t>
  </si>
  <si>
    <t xml:space="preserve">Quote Direction</t>
  </si>
  <si>
    <t xml:space="preserve">USD Per Local Unit</t>
  </si>
  <si>
    <t xml:space="preserve">Rate Source</t>
  </si>
  <si>
    <t xml:space="preserve">Note</t>
  </si>
  <si>
    <t xml:space="preserve">India</t>
  </si>
  <si>
    <t xml:space="preserve">Indian Rupees(Rs.)</t>
  </si>
  <si>
    <t xml:space="preserve">INR</t>
  </si>
  <si>
    <t xml:space="preserve">local per USD</t>
  </si>
  <si>
    <t xml:space="preserve">FRED (Federal Reserve H.10), mean of 12 monthly averages</t>
  </si>
  <si>
    <t xml:space="preserve">United States</t>
  </si>
  <si>
    <t xml:space="preserve">Dollar($)</t>
  </si>
  <si>
    <t xml:space="preserve">USD</t>
  </si>
  <si>
    <t xml:space="preserve">USD per local</t>
  </si>
  <si>
    <t xml:space="preserve">Base currency</t>
  </si>
  <si>
    <t xml:space="preserve">United Kingdom</t>
  </si>
  <si>
    <t xml:space="preserve">Pounds(Œ£)</t>
  </si>
  <si>
    <t xml:space="preserve">GBP</t>
  </si>
  <si>
    <t xml:space="preserve">Source label is mojibake (a double-encoded pound sign) in the raw file</t>
  </si>
  <si>
    <t xml:space="preserve">UAE</t>
  </si>
  <si>
    <t xml:space="preserve">Emirati Diram(AED)</t>
  </si>
  <si>
    <t xml:space="preserve">AED</t>
  </si>
  <si>
    <t xml:space="preserve">Central Bank of the UAE, fixed peg since Nov 1997</t>
  </si>
  <si>
    <t xml:space="preserve">South Africa</t>
  </si>
  <si>
    <t xml:space="preserve">Rand(R)</t>
  </si>
  <si>
    <t xml:space="preserve">ZAR</t>
  </si>
  <si>
    <t xml:space="preserve">Brazil</t>
  </si>
  <si>
    <t xml:space="preserve">Brazilian Real(R$)</t>
  </si>
  <si>
    <t xml:space="preserve">BRL</t>
  </si>
  <si>
    <t xml:space="preserve">New Zealand</t>
  </si>
  <si>
    <t xml:space="preserve">NewZealand($)</t>
  </si>
  <si>
    <t xml:space="preserve">NZD</t>
  </si>
  <si>
    <t xml:space="preserve">Turkey</t>
  </si>
  <si>
    <t xml:space="preserve">Turkish Lira(TL)</t>
  </si>
  <si>
    <t xml:space="preserve">TRY</t>
  </si>
  <si>
    <t xml:space="preserve">ECB daily reference rates, mean of 12 monthly averages</t>
  </si>
  <si>
    <t xml:space="preserve">Australia</t>
  </si>
  <si>
    <t xml:space="preserve">AUD</t>
  </si>
  <si>
    <t xml:space="preserve">Source label says Dollar($); Australian dollar</t>
  </si>
  <si>
    <t xml:space="preserve">Phillipines</t>
  </si>
  <si>
    <t xml:space="preserve">Botswana Pula(P)</t>
  </si>
  <si>
    <t xml:space="preserve">PHP</t>
  </si>
  <si>
    <t xml:space="preserve">Source label is wrong. Philippines uses the peso; pula would imply a $151.59 average meal for two</t>
  </si>
  <si>
    <t xml:space="preserve">Indonesia</t>
  </si>
  <si>
    <t xml:space="preserve">Indonesian Rupiah(IDR)</t>
  </si>
  <si>
    <t xml:space="preserve">IDR</t>
  </si>
  <si>
    <t xml:space="preserve">Qatar</t>
  </si>
  <si>
    <t xml:space="preserve">Qatari Rial(QR)</t>
  </si>
  <si>
    <t xml:space="preserve">QAR</t>
  </si>
  <si>
    <t xml:space="preserve">Qatar Central Bank, fixed peg (Decree No. 34 of 2001)</t>
  </si>
  <si>
    <t xml:space="preserve">Sri Lanka</t>
  </si>
  <si>
    <t xml:space="preserve">Sri Lankan Rupee(LKR)</t>
  </si>
  <si>
    <t xml:space="preserve">LKR</t>
  </si>
  <si>
    <t xml:space="preserve">Singapore</t>
  </si>
  <si>
    <t xml:space="preserve">SGD</t>
  </si>
  <si>
    <t xml:space="preserve">Source label says Dollar($); Singapore dollar</t>
  </si>
  <si>
    <t xml:space="preserve">Canada</t>
  </si>
  <si>
    <t xml:space="preserve">CAD</t>
  </si>
  <si>
    <t xml:space="preserve">Source label says Dollar($); Canadian dollar</t>
  </si>
  <si>
    <t xml:space="preserve">How to use this table</t>
  </si>
  <si>
    <t xml:space="preserve">Relate [Country Code] to Fact_Restaurants[Country Code], one to many. Multiply Fact_Restaurants[Aver Cost] by [USD Per Local Unit].</t>
  </si>
  <si>
    <t xml:space="preserve">The join key is Country Code, NOT Currency: the label "Dollar($)" is shared by the United States, Australia, Singapore and Canada,</t>
  </si>
  <si>
    <t xml:space="preserve">so joining on Currency would convert all four at the US dollar rate and silently leave three of them wrong.</t>
  </si>
  <si>
    <t xml:space="preserve">Rate basis</t>
  </si>
  <si>
    <t xml:space="preserve">2019 annual average, computed as the mean of the twelve 2019 monthly averages.</t>
  </si>
  <si>
    <t xml:space="preserve">The Zomato data is a 2019 snapshot covering a full year, so a year-long average matches it. Current rates would be wrong:</t>
  </si>
  <si>
    <t xml:space="preserve">the rupiah and the lira have both moved substantially since 2019.</t>
  </si>
  <si>
    <t xml:space="preserve">Sources</t>
  </si>
  <si>
    <t xml:space="preserve">FRED (Federal Reserve H.10 release) for INR, ZAR, BRL, SGD, CAD, LKR, GBP, NZD, AUD.</t>
  </si>
  <si>
    <t xml:space="preserve">ECB daily reference rates for IDR, PHP, TRY, averaged over all 255 published 2019 rate days.</t>
  </si>
  <si>
    <t xml:space="preserve">Published central bank pegs for AED (3.6725) and QAR (3.64).</t>
  </si>
  <si>
    <t xml:space="preserve">Validation: the ECB-derived Philippine peso average of 51.7938 agrees with an independently published 2019 average</t>
  </si>
  <si>
    <t xml:space="preserve">of 51.7675 to within 0.05%.</t>
  </si>
  <si>
    <t xml:space="preserve">Blue cells</t>
  </si>
  <si>
    <t xml:space="preserve">Blue text marks the published input rates. The USD Per Local Unit column is calculated from them.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</si>
</sst>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00"/>
    <numFmt numFmtId="167" formatCode="0.00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33333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52"/>
    <col collapsed="false" customWidth="true" hidden="false" outlineLevel="0" max="9" min="9" style="0" width="5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3" t="s">
        <v>10</v>
      </c>
      <c r="D2" s="3" t="s">
        <v>11</v>
      </c>
      <c r="E2" s="4" t="n">
        <v>70.4041</v>
      </c>
      <c r="F2" s="3" t="s">
        <v>12</v>
      </c>
      <c r="G2" s="5" t="n">
        <f aca="false">IF(F2="local per USD",1/E2,E2)</f>
        <v>0.0142037182493633</v>
      </c>
      <c r="H2" s="3" t="s">
        <v>13</v>
      </c>
      <c r="I2" s="6"/>
    </row>
    <row r="3" customFormat="false" ht="15" hidden="false" customHeight="false" outlineLevel="0" collapsed="false">
      <c r="A3" s="2" t="n">
        <v>216</v>
      </c>
      <c r="B3" s="3" t="s">
        <v>14</v>
      </c>
      <c r="C3" s="3" t="s">
        <v>15</v>
      </c>
      <c r="D3" s="3" t="s">
        <v>16</v>
      </c>
      <c r="E3" s="4" t="n">
        <v>1</v>
      </c>
      <c r="F3" s="3" t="s">
        <v>17</v>
      </c>
      <c r="G3" s="5" t="n">
        <f aca="false">IF(F3="local per USD",1/E3,E3)</f>
        <v>1</v>
      </c>
      <c r="H3" s="3" t="s">
        <v>18</v>
      </c>
      <c r="I3" s="6"/>
    </row>
    <row r="4" customFormat="false" ht="15" hidden="false" customHeight="false" outlineLevel="0" collapsed="false">
      <c r="A4" s="2" t="n">
        <v>215</v>
      </c>
      <c r="B4" s="3" t="s">
        <v>19</v>
      </c>
      <c r="C4" s="3" t="s">
        <v>20</v>
      </c>
      <c r="D4" s="3" t="s">
        <v>21</v>
      </c>
      <c r="E4" s="4" t="n">
        <v>1.2774</v>
      </c>
      <c r="F4" s="3" t="s">
        <v>17</v>
      </c>
      <c r="G4" s="5" t="n">
        <f aca="false">IF(F4="local per USD",1/E4,E4)</f>
        <v>1.2774</v>
      </c>
      <c r="H4" s="3" t="s">
        <v>13</v>
      </c>
      <c r="I4" s="6" t="s">
        <v>22</v>
      </c>
    </row>
    <row r="5" customFormat="false" ht="15" hidden="false" customHeight="false" outlineLevel="0" collapsed="false">
      <c r="A5" s="2" t="n">
        <v>214</v>
      </c>
      <c r="B5" s="3" t="s">
        <v>23</v>
      </c>
      <c r="C5" s="3" t="s">
        <v>24</v>
      </c>
      <c r="D5" s="3" t="s">
        <v>25</v>
      </c>
      <c r="E5" s="4" t="n">
        <v>3.6725</v>
      </c>
      <c r="F5" s="3" t="s">
        <v>12</v>
      </c>
      <c r="G5" s="5" t="n">
        <f aca="false">IF(F5="local per USD",1/E5,E5)</f>
        <v>0.272294077603812</v>
      </c>
      <c r="H5" s="3" t="s">
        <v>26</v>
      </c>
      <c r="I5" s="6"/>
    </row>
    <row r="6" customFormat="false" ht="15" hidden="false" customHeight="false" outlineLevel="0" collapsed="false">
      <c r="A6" s="2" t="n">
        <v>189</v>
      </c>
      <c r="B6" s="3" t="s">
        <v>27</v>
      </c>
      <c r="C6" s="3" t="s">
        <v>28</v>
      </c>
      <c r="D6" s="3" t="s">
        <v>29</v>
      </c>
      <c r="E6" s="4" t="n">
        <v>14.4406</v>
      </c>
      <c r="F6" s="3" t="s">
        <v>12</v>
      </c>
      <c r="G6" s="5" t="n">
        <f aca="false">IF(F6="local per USD",1/E6,E6)</f>
        <v>0.069249200171738</v>
      </c>
      <c r="H6" s="3" t="s">
        <v>13</v>
      </c>
      <c r="I6" s="6"/>
    </row>
    <row r="7" customFormat="false" ht="15" hidden="false" customHeight="false" outlineLevel="0" collapsed="false">
      <c r="A7" s="2" t="n">
        <v>30</v>
      </c>
      <c r="B7" s="3" t="s">
        <v>30</v>
      </c>
      <c r="C7" s="3" t="s">
        <v>31</v>
      </c>
      <c r="D7" s="3" t="s">
        <v>32</v>
      </c>
      <c r="E7" s="4" t="n">
        <v>3.9423</v>
      </c>
      <c r="F7" s="3" t="s">
        <v>12</v>
      </c>
      <c r="G7" s="5" t="n">
        <f aca="false">IF(F7="local per USD",1/E7,E7)</f>
        <v>0.253659031529818</v>
      </c>
      <c r="H7" s="3" t="s">
        <v>13</v>
      </c>
      <c r="I7" s="6"/>
    </row>
    <row r="8" customFormat="false" ht="15" hidden="false" customHeight="false" outlineLevel="0" collapsed="false">
      <c r="A8" s="2" t="n">
        <v>148</v>
      </c>
      <c r="B8" s="3" t="s">
        <v>33</v>
      </c>
      <c r="C8" s="3" t="s">
        <v>34</v>
      </c>
      <c r="D8" s="3" t="s">
        <v>35</v>
      </c>
      <c r="E8" s="4" t="n">
        <v>0.6593</v>
      </c>
      <c r="F8" s="3" t="s">
        <v>17</v>
      </c>
      <c r="G8" s="5" t="n">
        <f aca="false">IF(F8="local per USD",1/E8,E8)</f>
        <v>0.6593</v>
      </c>
      <c r="H8" s="3" t="s">
        <v>13</v>
      </c>
      <c r="I8" s="6"/>
    </row>
    <row r="9" customFormat="false" ht="15" hidden="false" customHeight="false" outlineLevel="0" collapsed="false">
      <c r="A9" s="2" t="n">
        <v>208</v>
      </c>
      <c r="B9" s="3" t="s">
        <v>36</v>
      </c>
      <c r="C9" s="3" t="s">
        <v>37</v>
      </c>
      <c r="D9" s="3" t="s">
        <v>38</v>
      </c>
      <c r="E9" s="4" t="n">
        <v>5.6796</v>
      </c>
      <c r="F9" s="3" t="s">
        <v>12</v>
      </c>
      <c r="G9" s="5" t="n">
        <f aca="false">IF(F9="local per USD",1/E9,E9)</f>
        <v>0.176068737235017</v>
      </c>
      <c r="H9" s="3" t="s">
        <v>39</v>
      </c>
      <c r="I9" s="6"/>
    </row>
    <row r="10" customFormat="false" ht="15" hidden="false" customHeight="false" outlineLevel="0" collapsed="false">
      <c r="A10" s="2" t="n">
        <v>14</v>
      </c>
      <c r="B10" s="3" t="s">
        <v>40</v>
      </c>
      <c r="C10" s="3" t="s">
        <v>15</v>
      </c>
      <c r="D10" s="3" t="s">
        <v>41</v>
      </c>
      <c r="E10" s="4" t="n">
        <v>0.6954</v>
      </c>
      <c r="F10" s="3" t="s">
        <v>17</v>
      </c>
      <c r="G10" s="5" t="n">
        <f aca="false">IF(F10="local per USD",1/E10,E10)</f>
        <v>0.6954</v>
      </c>
      <c r="H10" s="3" t="s">
        <v>13</v>
      </c>
      <c r="I10" s="6" t="s">
        <v>42</v>
      </c>
    </row>
    <row r="11" customFormat="false" ht="23.85" hidden="false" customHeight="false" outlineLevel="0" collapsed="false">
      <c r="A11" s="2" t="n">
        <v>162</v>
      </c>
      <c r="B11" s="3" t="s">
        <v>43</v>
      </c>
      <c r="C11" s="3" t="s">
        <v>44</v>
      </c>
      <c r="D11" s="3" t="s">
        <v>45</v>
      </c>
      <c r="E11" s="4" t="n">
        <v>51.7938</v>
      </c>
      <c r="F11" s="3" t="s">
        <v>12</v>
      </c>
      <c r="G11" s="5" t="n">
        <f aca="false">IF(F11="local per USD",1/E11,E11)</f>
        <v>0.0193073302209917</v>
      </c>
      <c r="H11" s="3" t="s">
        <v>39</v>
      </c>
      <c r="I11" s="6" t="s">
        <v>46</v>
      </c>
    </row>
    <row r="12" customFormat="false" ht="15" hidden="false" customHeight="false" outlineLevel="0" collapsed="false">
      <c r="A12" s="2" t="n">
        <v>94</v>
      </c>
      <c r="B12" s="3" t="s">
        <v>47</v>
      </c>
      <c r="C12" s="3" t="s">
        <v>48</v>
      </c>
      <c r="D12" s="3" t="s">
        <v>49</v>
      </c>
      <c r="E12" s="4" t="n">
        <v>14144.2551</v>
      </c>
      <c r="F12" s="3" t="s">
        <v>12</v>
      </c>
      <c r="G12" s="5" t="n">
        <f aca="false">IF(F12="local per USD",1/E12,E12)</f>
        <v>7.07000823252969E-005</v>
      </c>
      <c r="H12" s="3" t="s">
        <v>39</v>
      </c>
      <c r="I12" s="6"/>
    </row>
    <row r="13" customFormat="false" ht="15" hidden="false" customHeight="false" outlineLevel="0" collapsed="false">
      <c r="A13" s="2" t="n">
        <v>166</v>
      </c>
      <c r="B13" s="3" t="s">
        <v>50</v>
      </c>
      <c r="C13" s="3" t="s">
        <v>51</v>
      </c>
      <c r="D13" s="3" t="s">
        <v>52</v>
      </c>
      <c r="E13" s="4" t="n">
        <v>3.64</v>
      </c>
      <c r="F13" s="3" t="s">
        <v>12</v>
      </c>
      <c r="G13" s="5" t="n">
        <f aca="false">IF(F13="local per USD",1/E13,E13)</f>
        <v>0.274725274725275</v>
      </c>
      <c r="H13" s="3" t="s">
        <v>53</v>
      </c>
      <c r="I13" s="6"/>
    </row>
    <row r="14" customFormat="false" ht="15" hidden="false" customHeight="false" outlineLevel="0" collapsed="false">
      <c r="A14" s="2" t="n">
        <v>191</v>
      </c>
      <c r="B14" s="3" t="s">
        <v>54</v>
      </c>
      <c r="C14" s="3" t="s">
        <v>55</v>
      </c>
      <c r="D14" s="3" t="s">
        <v>56</v>
      </c>
      <c r="E14" s="4" t="n">
        <v>178.566</v>
      </c>
      <c r="F14" s="3" t="s">
        <v>12</v>
      </c>
      <c r="G14" s="5" t="n">
        <f aca="false">IF(F14="local per USD",1/E14,E14)</f>
        <v>0.00560017024517545</v>
      </c>
      <c r="H14" s="3" t="s">
        <v>13</v>
      </c>
      <c r="I14" s="6"/>
    </row>
    <row r="15" customFormat="false" ht="15" hidden="false" customHeight="false" outlineLevel="0" collapsed="false">
      <c r="A15" s="2" t="n">
        <v>184</v>
      </c>
      <c r="B15" s="3" t="s">
        <v>57</v>
      </c>
      <c r="C15" s="3" t="s">
        <v>15</v>
      </c>
      <c r="D15" s="3" t="s">
        <v>58</v>
      </c>
      <c r="E15" s="4" t="n">
        <v>1.3639</v>
      </c>
      <c r="F15" s="3" t="s">
        <v>12</v>
      </c>
      <c r="G15" s="5" t="n">
        <f aca="false">IF(F15="local per USD",1/E15,E15)</f>
        <v>0.733191582960628</v>
      </c>
      <c r="H15" s="3" t="s">
        <v>13</v>
      </c>
      <c r="I15" s="6" t="s">
        <v>59</v>
      </c>
    </row>
    <row r="16" customFormat="false" ht="15" hidden="false" customHeight="false" outlineLevel="0" collapsed="false">
      <c r="A16" s="2" t="n">
        <v>37</v>
      </c>
      <c r="B16" s="3" t="s">
        <v>60</v>
      </c>
      <c r="C16" s="3" t="s">
        <v>15</v>
      </c>
      <c r="D16" s="3" t="s">
        <v>61</v>
      </c>
      <c r="E16" s="4" t="n">
        <v>1.3268</v>
      </c>
      <c r="F16" s="3" t="s">
        <v>12</v>
      </c>
      <c r="G16" s="5" t="n">
        <f aca="false">IF(F16="local per USD",1/E16,E16)</f>
        <v>0.753693096171239</v>
      </c>
      <c r="H16" s="3" t="s">
        <v>13</v>
      </c>
      <c r="I16" s="6" t="s">
        <v>62</v>
      </c>
    </row>
    <row r="18" customFormat="false" ht="15" hidden="false" customHeight="false" outlineLevel="0" collapsed="false">
      <c r="A18" s="7" t="s">
        <v>63</v>
      </c>
      <c r="B18" s="8"/>
    </row>
    <row r="19" customFormat="false" ht="15" hidden="false" customHeight="false" outlineLevel="0" collapsed="false">
      <c r="A19" s="7"/>
      <c r="B19" s="8" t="s">
        <v>64</v>
      </c>
    </row>
    <row r="20" customFormat="false" ht="15" hidden="false" customHeight="false" outlineLevel="0" collapsed="false">
      <c r="A20" s="7"/>
      <c r="B20" s="8" t="s">
        <v>65</v>
      </c>
    </row>
    <row r="21" customFormat="false" ht="15" hidden="false" customHeight="false" outlineLevel="0" collapsed="false">
      <c r="A21" s="7"/>
      <c r="B21" s="8" t="s">
        <v>66</v>
      </c>
    </row>
    <row r="22" customFormat="false" ht="15" hidden="false" customHeight="false" outlineLevel="0" collapsed="false">
      <c r="A22" s="7"/>
      <c r="B22" s="8"/>
    </row>
    <row r="23" customFormat="false" ht="15" hidden="false" customHeight="false" outlineLevel="0" collapsed="false">
      <c r="A23" s="7" t="s">
        <v>67</v>
      </c>
      <c r="B23" s="8" t="s">
        <v>68</v>
      </c>
    </row>
    <row r="24" customFormat="false" ht="15" hidden="false" customHeight="false" outlineLevel="0" collapsed="false">
      <c r="A24" s="7"/>
      <c r="B24" s="8" t="s">
        <v>69</v>
      </c>
    </row>
    <row r="25" customFormat="false" ht="15" hidden="false" customHeight="false" outlineLevel="0" collapsed="false">
      <c r="A25" s="7"/>
      <c r="B25" s="8" t="s">
        <v>70</v>
      </c>
    </row>
    <row r="26" customFormat="false" ht="15" hidden="false" customHeight="false" outlineLevel="0" collapsed="false">
      <c r="A26" s="7"/>
      <c r="B26" s="8"/>
    </row>
    <row r="27" customFormat="false" ht="15" hidden="false" customHeight="false" outlineLevel="0" collapsed="false">
      <c r="A27" s="7" t="s">
        <v>71</v>
      </c>
      <c r="B27" s="8" t="s">
        <v>72</v>
      </c>
    </row>
    <row r="28" customFormat="false" ht="15" hidden="false" customHeight="false" outlineLevel="0" collapsed="false">
      <c r="A28" s="7"/>
      <c r="B28" s="8" t="s">
        <v>73</v>
      </c>
    </row>
    <row r="29" customFormat="false" ht="15" hidden="false" customHeight="false" outlineLevel="0" collapsed="false">
      <c r="A29" s="7"/>
      <c r="B29" s="8" t="s">
        <v>74</v>
      </c>
    </row>
    <row r="30" customFormat="false" ht="15" hidden="false" customHeight="false" outlineLevel="0" collapsed="false">
      <c r="A30" s="7"/>
      <c r="B30" s="8" t="s">
        <v>75</v>
      </c>
    </row>
    <row r="31" customFormat="false" ht="15" hidden="false" customHeight="false" outlineLevel="0" collapsed="false">
      <c r="A31" s="7"/>
      <c r="B31" s="8" t="s">
        <v>76</v>
      </c>
    </row>
    <row r="32" customFormat="false" ht="15" hidden="false" customHeight="false" outlineLevel="0" collapsed="false">
      <c r="A32" s="7"/>
      <c r="B32" s="8"/>
    </row>
    <row r="33" customFormat="false" ht="15" hidden="false" customHeight="false" outlineLevel="0" collapsed="false">
      <c r="A33" s="7" t="s">
        <v>77</v>
      </c>
      <c r="B33" s="8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2026-08-08T17:16:54Z</dcterms:created>
  <dc:creator>Joelle Spiegel</dc:creator>
  <dc:description/>
  <dc:language>en-US</dc:language>
  <cp:lastModifiedBy>Joelle Spiegel</cp:lastModifiedBy>
  <dcterms:modified xsi:type="dcterms:W3CDTF">2026-08-08T17:16:54Z</dcterms:modified>
  <cp:revision>0</cp:revision>
  <dc:subject/>
  <dc:title>Zomato Restaurant Analysis: 2019 Currency Conversion Table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